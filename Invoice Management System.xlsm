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exgen\Documents\Invoice Management System\"/>
    </mc:Choice>
  </mc:AlternateContent>
  <bookViews>
    <workbookView xWindow="0" yWindow="0" windowWidth="19200" windowHeight="7050"/>
  </bookViews>
  <sheets>
    <sheet name="Invoice Template" sheetId="1" r:id="rId1"/>
    <sheet name="Customers" sheetId="2" r:id="rId2"/>
    <sheet name="Record of Invoices" sheetId="3" r:id="rId3"/>
  </sheets>
  <definedNames>
    <definedName name="Customer_Name">Customer_list[Customer Name]</definedName>
    <definedName name="CustomerName">Customer_list[Customer Name]</definedName>
    <definedName name="_xlnm.Print_Area" localSheetId="0">'Invoice Template'!$A$1:$I$44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  <c r="B10" i="1"/>
  <c r="C5" i="1" l="1"/>
  <c r="H32" i="1" l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I26" i="1"/>
  <c r="I18" i="1"/>
  <c r="I19" i="1"/>
  <c r="I20" i="1"/>
  <c r="I21" i="1"/>
  <c r="I22" i="1"/>
  <c r="I23" i="1"/>
  <c r="I24" i="1"/>
  <c r="I25" i="1"/>
  <c r="I27" i="1"/>
  <c r="I28" i="1"/>
  <c r="I29" i="1"/>
  <c r="I30" i="1"/>
  <c r="I31" i="1"/>
  <c r="I32" i="1"/>
  <c r="I17" i="1"/>
  <c r="H17" i="1"/>
  <c r="I35" i="1" l="1"/>
  <c r="I36" i="1"/>
  <c r="I37" i="1" l="1"/>
</calcChain>
</file>

<file path=xl/sharedStrings.xml><?xml version="1.0" encoding="utf-8"?>
<sst xmlns="http://schemas.openxmlformats.org/spreadsheetml/2006/main" count="60" uniqueCount="53">
  <si>
    <t>Invoice</t>
  </si>
  <si>
    <t>Invoice No.</t>
  </si>
  <si>
    <t>PO.NO.</t>
  </si>
  <si>
    <t>Date</t>
  </si>
  <si>
    <t>Terms (Days)</t>
  </si>
  <si>
    <t>Invoice To.</t>
  </si>
  <si>
    <t>Description</t>
  </si>
  <si>
    <t>Qty</t>
  </si>
  <si>
    <t>Price</t>
  </si>
  <si>
    <t>Vat</t>
  </si>
  <si>
    <t>Total</t>
  </si>
  <si>
    <t>Customer Message</t>
  </si>
  <si>
    <t>SubTotal</t>
  </si>
  <si>
    <t>Company Details</t>
  </si>
  <si>
    <t>Payment Details</t>
  </si>
  <si>
    <t>Vat No.</t>
  </si>
  <si>
    <t>Tel No.</t>
  </si>
  <si>
    <t>Email.</t>
  </si>
  <si>
    <t>Other.</t>
  </si>
  <si>
    <t>Swift Code.</t>
  </si>
  <si>
    <t>Bank.</t>
  </si>
  <si>
    <t>Accont No.</t>
  </si>
  <si>
    <t>Customer Name</t>
  </si>
  <si>
    <t>Address 1</t>
  </si>
  <si>
    <t>Address 2</t>
  </si>
  <si>
    <t>Address 3</t>
  </si>
  <si>
    <t>Address 4</t>
  </si>
  <si>
    <t>Address 5</t>
  </si>
  <si>
    <t>Email</t>
  </si>
  <si>
    <t>Ali</t>
  </si>
  <si>
    <t>Lahore</t>
  </si>
  <si>
    <t>Pindi</t>
  </si>
  <si>
    <t>Karachi</t>
  </si>
  <si>
    <t>Jehlum</t>
  </si>
  <si>
    <t>Islamabad</t>
  </si>
  <si>
    <t>Rawalpindi</t>
  </si>
  <si>
    <t>Chakwal</t>
  </si>
  <si>
    <t>Sailkot</t>
  </si>
  <si>
    <t>Ali@gmail.com</t>
  </si>
  <si>
    <t>Ahsan@gmail.com</t>
  </si>
  <si>
    <t>Invoice No</t>
  </si>
  <si>
    <t>Amount</t>
  </si>
  <si>
    <t>Due Date</t>
  </si>
  <si>
    <t>paid</t>
  </si>
  <si>
    <t>Date Issue</t>
  </si>
  <si>
    <t>Ahsan</t>
  </si>
  <si>
    <t>Company No</t>
  </si>
  <si>
    <t>Company Logo</t>
  </si>
  <si>
    <t>PN1002</t>
  </si>
  <si>
    <t>YES</t>
  </si>
  <si>
    <t>VBA Book</t>
  </si>
  <si>
    <t>DataBase Book</t>
  </si>
  <si>
    <t xml:space="preserve">   YourCompany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</si>
</sst>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lgerian"/>
      <family val="5"/>
    </font>
    <font>
      <u/>
      <sz val="11"/>
      <color theme="10"/>
      <name val="Calibri"/>
      <family val="2"/>
      <scheme val="minor"/>
    </font>
    <font>
      <sz val="20"/>
      <color theme="1"/>
      <name val="Algerian"/>
      <family val="5"/>
    </font>
    <font>
      <b/>
      <sz val="28"/>
      <color theme="1"/>
      <name val="Algerian"/>
      <family val="5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6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thin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/>
      <top style="thick">
        <color auto="1"/>
      </top>
      <bottom style="dotted">
        <color auto="1"/>
      </bottom>
      <diagonal/>
    </border>
    <border>
      <left/>
      <right/>
      <top style="thick">
        <color auto="1"/>
      </top>
      <bottom style="dotted">
        <color auto="1"/>
      </bottom>
      <diagonal/>
    </border>
    <border>
      <left/>
      <right style="dashed">
        <color auto="1"/>
      </right>
      <top style="thick">
        <color auto="1"/>
      </top>
      <bottom style="dotted">
        <color auto="1"/>
      </bottom>
      <diagonal/>
    </border>
    <border>
      <left style="dash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ashed">
        <color auto="1"/>
      </right>
      <top style="dotted">
        <color auto="1"/>
      </top>
      <bottom style="dotted">
        <color auto="1"/>
      </bottom>
      <diagonal/>
    </border>
    <border>
      <left style="dashed">
        <color auto="1"/>
      </left>
      <right/>
      <top style="dotted">
        <color auto="1"/>
      </top>
      <bottom style="dashed">
        <color auto="1"/>
      </bottom>
      <diagonal/>
    </border>
    <border>
      <left/>
      <right/>
      <top style="dotted">
        <color auto="1"/>
      </top>
      <bottom style="dashed">
        <color auto="1"/>
      </bottom>
      <diagonal/>
    </border>
    <border>
      <left/>
      <right style="dashed">
        <color auto="1"/>
      </right>
      <top style="dotted">
        <color auto="1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/>
      <top style="dashed">
        <color auto="1"/>
      </top>
      <bottom style="medium">
        <color indexed="64"/>
      </bottom>
      <diagonal/>
    </border>
    <border>
      <left/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5">
    <xf numFmtId="0" fontId="0" fillId="0" borderId="0" xfId="0"/>
    <xf numFmtId="0" fontId="4" fillId="0" borderId="0" xfId="0" applyFont="1" applyAlignment="1">
      <alignment vertical="center"/>
    </xf>
    <xf numFmtId="0" fontId="0" fillId="0" borderId="1" xfId="0" applyBorder="1"/>
    <xf numFmtId="0" fontId="3" fillId="2" borderId="2" xfId="0" applyFont="1" applyFill="1" applyBorder="1"/>
    <xf numFmtId="0" fontId="3" fillId="2" borderId="5" xfId="0" applyFont="1" applyFill="1" applyBorder="1"/>
    <xf numFmtId="0" fontId="3" fillId="2" borderId="8" xfId="0" applyFont="1" applyFill="1" applyBorder="1"/>
    <xf numFmtId="0" fontId="3" fillId="2" borderId="0" xfId="0" applyFont="1" applyFill="1" applyBorder="1"/>
    <xf numFmtId="0" fontId="0" fillId="0" borderId="0" xfId="0" applyBorder="1"/>
    <xf numFmtId="0" fontId="3" fillId="2" borderId="19" xfId="0" applyFont="1" applyFill="1" applyBorder="1"/>
    <xf numFmtId="0" fontId="3" fillId="2" borderId="20" xfId="0" applyFont="1" applyFill="1" applyBorder="1"/>
    <xf numFmtId="0" fontId="0" fillId="0" borderId="21" xfId="0" applyBorder="1"/>
    <xf numFmtId="0" fontId="0" fillId="0" borderId="23" xfId="0" applyBorder="1"/>
    <xf numFmtId="44" fontId="0" fillId="0" borderId="21" xfId="1" applyFont="1" applyBorder="1"/>
    <xf numFmtId="44" fontId="0" fillId="0" borderId="22" xfId="1" applyFont="1" applyBorder="1"/>
    <xf numFmtId="44" fontId="0" fillId="0" borderId="23" xfId="1" applyFont="1" applyBorder="1"/>
    <xf numFmtId="44" fontId="0" fillId="0" borderId="24" xfId="1" applyFont="1" applyBorder="1"/>
    <xf numFmtId="0" fontId="5" fillId="0" borderId="0" xfId="2"/>
    <xf numFmtId="7" fontId="0" fillId="0" borderId="0" xfId="0" applyNumberFormat="1"/>
    <xf numFmtId="14" fontId="0" fillId="0" borderId="0" xfId="0" applyNumberFormat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3" fillId="2" borderId="47" xfId="0" applyFont="1" applyFill="1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44" fontId="0" fillId="0" borderId="56" xfId="1" applyFont="1" applyBorder="1"/>
    <xf numFmtId="44" fontId="0" fillId="0" borderId="59" xfId="1" applyFont="1" applyBorder="1"/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54" xfId="0" applyBorder="1" applyAlignment="1">
      <alignment horizontal="left"/>
    </xf>
    <xf numFmtId="0" fontId="0" fillId="0" borderId="55" xfId="0" applyBorder="1" applyAlignment="1">
      <alignment horizontal="left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4" xfId="0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3" fillId="2" borderId="26" xfId="0" applyFont="1" applyFill="1" applyBorder="1" applyAlignment="1">
      <alignment horizontal="left"/>
    </xf>
    <xf numFmtId="0" fontId="3" fillId="2" borderId="48" xfId="0" applyFont="1" applyFill="1" applyBorder="1" applyAlignment="1">
      <alignment horizontal="left"/>
    </xf>
    <xf numFmtId="14" fontId="0" fillId="0" borderId="6" xfId="0" applyNumberFormat="1" applyBorder="1" applyAlignment="1">
      <alignment horizontal="left"/>
    </xf>
    <xf numFmtId="0" fontId="0" fillId="0" borderId="7" xfId="0" applyBorder="1" applyAlignment="1">
      <alignment horizontal="left"/>
    </xf>
    <xf numFmtId="0" fontId="2" fillId="0" borderId="25" xfId="0" applyFont="1" applyBorder="1" applyAlignment="1">
      <alignment horizontal="left"/>
    </xf>
    <xf numFmtId="0" fontId="3" fillId="2" borderId="45" xfId="0" applyFont="1" applyFill="1" applyBorder="1" applyAlignment="1">
      <alignment horizontal="left"/>
    </xf>
    <xf numFmtId="0" fontId="3" fillId="2" borderId="46" xfId="0" applyFont="1" applyFill="1" applyBorder="1" applyAlignment="1">
      <alignment horizontal="left"/>
    </xf>
    <xf numFmtId="0" fontId="3" fillId="2" borderId="27" xfId="0" applyFont="1" applyFill="1" applyBorder="1" applyAlignment="1">
      <alignment horizontal="left"/>
    </xf>
    <xf numFmtId="0" fontId="3" fillId="2" borderId="28" xfId="0" applyFont="1" applyFill="1" applyBorder="1" applyAlignment="1">
      <alignment horizontal="left"/>
    </xf>
    <xf numFmtId="0" fontId="3" fillId="2" borderId="29" xfId="0" applyFont="1" applyFill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596900</xdr:colOff>
      <xdr:row>6</xdr:row>
      <xdr:rowOff>158750</xdr:rowOff>
    </xdr:from>
    <xdr:to>
      <xdr:col>13</xdr:col>
      <xdr:colOff>63500</xdr:colOff>
      <xdr:row>8</xdr:row>
      <xdr:rowOff>146050</xdr:rowOff>
    </xdr:to>
    <xdr:sp macro="[0]!Module1.RecordOfInvoices" textlink="">
      <xdr:nvSpPr>
        <xdr:cNvPr id="3" name="Flowchart: Alternate Process 2"/>
        <xdr:cNvSpPr/>
      </xdr:nvSpPr>
      <xdr:spPr>
        <a:xfrm>
          <a:off x="7112000" y="1441450"/>
          <a:ext cx="1295400" cy="368300"/>
        </a:xfrm>
        <a:prstGeom prst="flowChartAlternateProcess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/>
            <a:t>Record Of Invoices</a:t>
          </a:r>
        </a:p>
      </xdr:txBody>
    </xdr:sp>
    <xdr:clientData/>
  </xdr:twoCellAnchor>
  <xdr:twoCellAnchor>
    <xdr:from>
      <xdr:col>10</xdr:col>
      <xdr:colOff>596900</xdr:colOff>
      <xdr:row>9</xdr:row>
      <xdr:rowOff>165100</xdr:rowOff>
    </xdr:from>
    <xdr:to>
      <xdr:col>13</xdr:col>
      <xdr:colOff>63500</xdr:colOff>
      <xdr:row>11</xdr:row>
      <xdr:rowOff>165100</xdr:rowOff>
    </xdr:to>
    <xdr:sp macro="[0]!InvoiceTemplateAsExcel" textlink="">
      <xdr:nvSpPr>
        <xdr:cNvPr id="5" name="Flowchart: Alternate Process 4"/>
        <xdr:cNvSpPr/>
      </xdr:nvSpPr>
      <xdr:spPr>
        <a:xfrm>
          <a:off x="7112000" y="2012950"/>
          <a:ext cx="1295400" cy="368300"/>
        </a:xfrm>
        <a:prstGeom prst="flowChartAlternateProcess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/>
            <a:t>Save</a:t>
          </a:r>
          <a:r>
            <a:rPr lang="en-US" sz="1100" b="0" baseline="0"/>
            <a:t> As Excel</a:t>
          </a:r>
          <a:endParaRPr lang="en-US" sz="1100" b="0"/>
        </a:p>
      </xdr:txBody>
    </xdr:sp>
    <xdr:clientData/>
  </xdr:twoCellAnchor>
  <xdr:twoCellAnchor>
    <xdr:from>
      <xdr:col>10</xdr:col>
      <xdr:colOff>596900</xdr:colOff>
      <xdr:row>12</xdr:row>
      <xdr:rowOff>177800</xdr:rowOff>
    </xdr:from>
    <xdr:to>
      <xdr:col>13</xdr:col>
      <xdr:colOff>63500</xdr:colOff>
      <xdr:row>15</xdr:row>
      <xdr:rowOff>31750</xdr:rowOff>
    </xdr:to>
    <xdr:sp macro="[0]!InvoiceTemplateAsPDF" textlink="">
      <xdr:nvSpPr>
        <xdr:cNvPr id="6" name="Flowchart: Alternate Process 5"/>
        <xdr:cNvSpPr/>
      </xdr:nvSpPr>
      <xdr:spPr>
        <a:xfrm>
          <a:off x="7112000" y="2578100"/>
          <a:ext cx="1295400" cy="368300"/>
        </a:xfrm>
        <a:prstGeom prst="flowChartAlternateProcess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/>
            <a:t>Save As Pdf</a:t>
          </a:r>
        </a:p>
      </xdr:txBody>
    </xdr:sp>
    <xdr:clientData/>
  </xdr:twoCellAnchor>
  <xdr:twoCellAnchor>
    <xdr:from>
      <xdr:col>10</xdr:col>
      <xdr:colOff>596900</xdr:colOff>
      <xdr:row>16</xdr:row>
      <xdr:rowOff>31750</xdr:rowOff>
    </xdr:from>
    <xdr:to>
      <xdr:col>13</xdr:col>
      <xdr:colOff>63500</xdr:colOff>
      <xdr:row>18</xdr:row>
      <xdr:rowOff>31750</xdr:rowOff>
    </xdr:to>
    <xdr:sp macro="[0]!NewInvoice" textlink="">
      <xdr:nvSpPr>
        <xdr:cNvPr id="7" name="Flowchart: Alternate Process 6"/>
        <xdr:cNvSpPr/>
      </xdr:nvSpPr>
      <xdr:spPr>
        <a:xfrm>
          <a:off x="7112000" y="3130550"/>
          <a:ext cx="1295400" cy="368300"/>
        </a:xfrm>
        <a:prstGeom prst="flowChartAlternateProcess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/>
            <a:t>New</a:t>
          </a:r>
          <a:r>
            <a:rPr lang="en-US" sz="1100" b="0" baseline="0"/>
            <a:t> Invoice</a:t>
          </a:r>
          <a:endParaRPr lang="en-US" sz="1100" b="0"/>
        </a:p>
      </xdr:txBody>
    </xdr:sp>
    <xdr:clientData/>
  </xdr:twoCellAnchor>
  <xdr:twoCellAnchor>
    <xdr:from>
      <xdr:col>10</xdr:col>
      <xdr:colOff>336550</xdr:colOff>
      <xdr:row>3</xdr:row>
      <xdr:rowOff>44450</xdr:rowOff>
    </xdr:from>
    <xdr:to>
      <xdr:col>13</xdr:col>
      <xdr:colOff>279400</xdr:colOff>
      <xdr:row>5</xdr:row>
      <xdr:rowOff>165100</xdr:rowOff>
    </xdr:to>
    <xdr:sp macro="[0]!NextCustomer" textlink="">
      <xdr:nvSpPr>
        <xdr:cNvPr id="8" name="Flowchart: Alternate Process 7"/>
        <xdr:cNvSpPr/>
      </xdr:nvSpPr>
      <xdr:spPr>
        <a:xfrm>
          <a:off x="6851650" y="774700"/>
          <a:ext cx="1771650" cy="488950"/>
        </a:xfrm>
        <a:prstGeom prst="flowChartAlternateProcess">
          <a:avLst/>
        </a:prstGeom>
        <a:solidFill>
          <a:schemeClr val="accent6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</a:rPr>
            <a:t>Next</a:t>
          </a:r>
          <a:r>
            <a:rPr lang="en-US" sz="1800" baseline="0">
              <a:solidFill>
                <a:schemeClr val="bg1"/>
              </a:solidFill>
            </a:rPr>
            <a:t> Customer</a:t>
          </a:r>
          <a:endParaRPr lang="en-US" sz="1800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Customer_list" displayName="Customer_list" ref="A1:G3" totalsRowShown="0">
  <autoFilter ref="A1:G3"/>
  <tableColumns count="7">
    <tableColumn id="1" name="Customer Name"/>
    <tableColumn id="2" name="Address 1"/>
    <tableColumn id="3" name="Address 2"/>
    <tableColumn id="4" name="Address 3"/>
    <tableColumn id="5" name="Address 4"/>
    <tableColumn id="6" name="Address 5"/>
    <tableColumn id="7" name="Email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Ahsan@gmail.com" TargetMode="External"/><Relationship Id="rId1" Type="http://schemas.openxmlformats.org/officeDocument/2006/relationships/hyperlink" Target="mailto:Ali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4"/>
  <sheetViews>
    <sheetView tabSelected="1" workbookViewId="0">
      <selection activeCell="K11" sqref="K11"/>
    </sheetView>
  </sheetViews>
  <sheetFormatPr defaultRowHeight="14.5" x14ac:dyDescent="0.35"/>
  <cols>
    <col min="1" max="1" width="3.1796875" customWidth="1"/>
    <col min="2" max="2" width="11.36328125" customWidth="1"/>
    <col min="3" max="3" width="11.81640625" customWidth="1"/>
    <col min="7" max="7" width="10.54296875" customWidth="1"/>
    <col min="8" max="8" width="11.26953125" customWidth="1"/>
    <col min="9" max="9" width="10.7265625" customWidth="1"/>
  </cols>
  <sheetData>
    <row r="1" spans="1:13" ht="28" x14ac:dyDescent="0.35">
      <c r="A1" s="71" t="s">
        <v>52</v>
      </c>
      <c r="B1" s="71"/>
      <c r="C1" s="71"/>
      <c r="D1" s="71"/>
      <c r="E1" s="71"/>
      <c r="F1" s="71"/>
      <c r="G1" s="2"/>
      <c r="H1" s="72" t="s">
        <v>0</v>
      </c>
      <c r="I1" s="72"/>
      <c r="J1" s="1"/>
      <c r="K1" s="1"/>
      <c r="L1" s="1"/>
      <c r="M1" s="1"/>
    </row>
    <row r="2" spans="1:13" ht="15" thickBot="1" x14ac:dyDescent="0.4"/>
    <row r="3" spans="1:13" x14ac:dyDescent="0.35">
      <c r="B3" s="3" t="s">
        <v>1</v>
      </c>
      <c r="C3" s="73">
        <v>1002</v>
      </c>
      <c r="D3" s="74"/>
      <c r="F3" s="53" t="s">
        <v>47</v>
      </c>
      <c r="G3" s="54"/>
      <c r="H3" s="54"/>
      <c r="I3" s="55"/>
    </row>
    <row r="4" spans="1:13" x14ac:dyDescent="0.35">
      <c r="B4" s="4" t="s">
        <v>2</v>
      </c>
      <c r="C4" s="19" t="s">
        <v>48</v>
      </c>
      <c r="D4" s="20"/>
      <c r="F4" s="56"/>
      <c r="G4" s="57"/>
      <c r="H4" s="57"/>
      <c r="I4" s="58"/>
    </row>
    <row r="5" spans="1:13" x14ac:dyDescent="0.35">
      <c r="B5" s="4" t="s">
        <v>3</v>
      </c>
      <c r="C5" s="77">
        <f ca="1">TODAY()</f>
        <v>45303</v>
      </c>
      <c r="D5" s="78"/>
      <c r="F5" s="56"/>
      <c r="G5" s="57"/>
      <c r="H5" s="57"/>
      <c r="I5" s="58"/>
    </row>
    <row r="6" spans="1:13" x14ac:dyDescent="0.35">
      <c r="B6" s="5" t="s">
        <v>4</v>
      </c>
      <c r="C6" s="21">
        <v>15</v>
      </c>
      <c r="D6" s="22"/>
      <c r="F6" s="56"/>
      <c r="G6" s="57"/>
      <c r="H6" s="57"/>
      <c r="I6" s="58"/>
    </row>
    <row r="7" spans="1:13" ht="15" thickBot="1" x14ac:dyDescent="0.4">
      <c r="F7" s="59"/>
      <c r="G7" s="60"/>
      <c r="H7" s="60"/>
      <c r="I7" s="61"/>
    </row>
    <row r="8" spans="1:13" ht="15" thickBot="1" x14ac:dyDescent="0.4">
      <c r="B8" s="6" t="s">
        <v>5</v>
      </c>
    </row>
    <row r="9" spans="1:13" x14ac:dyDescent="0.35">
      <c r="B9" s="68" t="s">
        <v>29</v>
      </c>
      <c r="C9" s="69"/>
      <c r="D9" s="70"/>
    </row>
    <row r="10" spans="1:13" x14ac:dyDescent="0.35">
      <c r="B10" s="36" t="str">
        <f>IFERROR(VLOOKUP($B$9,Customer_list[#All],2,0),"")</f>
        <v>Pindi</v>
      </c>
      <c r="C10" s="37"/>
      <c r="D10" s="38"/>
    </row>
    <row r="11" spans="1:13" x14ac:dyDescent="0.35">
      <c r="B11" s="36" t="str">
        <f>IFERROR(VLOOKUP($B$9,Customer_list[#All],3,0),"")</f>
        <v>Pindi</v>
      </c>
      <c r="C11" s="37"/>
      <c r="D11" s="38"/>
    </row>
    <row r="12" spans="1:13" x14ac:dyDescent="0.35">
      <c r="B12" s="36" t="str">
        <f>IFERROR(VLOOKUP($B$9,Customer_list[#All],4,0),"")</f>
        <v>Jehlum</v>
      </c>
      <c r="C12" s="37"/>
      <c r="D12" s="38"/>
    </row>
    <row r="13" spans="1:13" x14ac:dyDescent="0.35">
      <c r="B13" s="36" t="str">
        <f>IFERROR(VLOOKUP($B$9,Customer_list[#All],5,0),"")</f>
        <v>Islamabad</v>
      </c>
      <c r="C13" s="37"/>
      <c r="D13" s="38"/>
    </row>
    <row r="14" spans="1:13" ht="15" thickBot="1" x14ac:dyDescent="0.4">
      <c r="B14" s="39" t="str">
        <f>IFERROR(VLOOKUP($B$9,Customer_list[#All],6,0),"")</f>
        <v>Chakwal</v>
      </c>
      <c r="C14" s="40"/>
      <c r="D14" s="41"/>
    </row>
    <row r="15" spans="1:13" ht="11" customHeight="1" thickBot="1" x14ac:dyDescent="0.4"/>
    <row r="16" spans="1:13" x14ac:dyDescent="0.35">
      <c r="B16" s="82" t="s">
        <v>6</v>
      </c>
      <c r="C16" s="83"/>
      <c r="D16" s="83"/>
      <c r="E16" s="84"/>
      <c r="F16" s="8" t="s">
        <v>7</v>
      </c>
      <c r="G16" s="8" t="s">
        <v>8</v>
      </c>
      <c r="H16" s="8" t="s">
        <v>9</v>
      </c>
      <c r="I16" s="9" t="s">
        <v>10</v>
      </c>
    </row>
    <row r="17" spans="2:9" x14ac:dyDescent="0.35">
      <c r="B17" s="62" t="s">
        <v>50</v>
      </c>
      <c r="C17" s="63"/>
      <c r="D17" s="63"/>
      <c r="E17" s="64"/>
      <c r="F17" s="10">
        <v>2</v>
      </c>
      <c r="G17" s="12">
        <v>150</v>
      </c>
      <c r="H17" s="12">
        <f>IF(F17&lt;&gt;"",G17*20%,"")</f>
        <v>30</v>
      </c>
      <c r="I17" s="13">
        <f>IF(F17&lt;&gt;"",F17*G17,"")</f>
        <v>300</v>
      </c>
    </row>
    <row r="18" spans="2:9" x14ac:dyDescent="0.35">
      <c r="B18" s="62" t="s">
        <v>51</v>
      </c>
      <c r="C18" s="63"/>
      <c r="D18" s="63"/>
      <c r="E18" s="64"/>
      <c r="F18" s="10">
        <v>1</v>
      </c>
      <c r="G18" s="12">
        <v>100</v>
      </c>
      <c r="H18" s="12">
        <f t="shared" ref="H18:H31" si="0">IF(F18&lt;&gt;"",G18*20%,"")</f>
        <v>20</v>
      </c>
      <c r="I18" s="13">
        <f t="shared" ref="I18:I32" si="1">IF(F18&lt;&gt;"",F18*G18,"")</f>
        <v>100</v>
      </c>
    </row>
    <row r="19" spans="2:9" x14ac:dyDescent="0.35">
      <c r="B19" s="62"/>
      <c r="C19" s="63"/>
      <c r="D19" s="63"/>
      <c r="E19" s="64"/>
      <c r="F19" s="10"/>
      <c r="G19" s="12"/>
      <c r="H19" s="12" t="str">
        <f t="shared" si="0"/>
        <v/>
      </c>
      <c r="I19" s="13" t="str">
        <f t="shared" si="1"/>
        <v/>
      </c>
    </row>
    <row r="20" spans="2:9" x14ac:dyDescent="0.35">
      <c r="B20" s="62"/>
      <c r="C20" s="63"/>
      <c r="D20" s="63"/>
      <c r="E20" s="64"/>
      <c r="F20" s="10"/>
      <c r="G20" s="12"/>
      <c r="H20" s="12" t="str">
        <f t="shared" si="0"/>
        <v/>
      </c>
      <c r="I20" s="13" t="str">
        <f t="shared" si="1"/>
        <v/>
      </c>
    </row>
    <row r="21" spans="2:9" x14ac:dyDescent="0.35">
      <c r="B21" s="62"/>
      <c r="C21" s="63"/>
      <c r="D21" s="63"/>
      <c r="E21" s="64"/>
      <c r="F21" s="10"/>
      <c r="G21" s="12"/>
      <c r="H21" s="12" t="str">
        <f t="shared" si="0"/>
        <v/>
      </c>
      <c r="I21" s="13" t="str">
        <f t="shared" si="1"/>
        <v/>
      </c>
    </row>
    <row r="22" spans="2:9" x14ac:dyDescent="0.35">
      <c r="B22" s="62"/>
      <c r="C22" s="63"/>
      <c r="D22" s="63"/>
      <c r="E22" s="64"/>
      <c r="F22" s="10"/>
      <c r="G22" s="12"/>
      <c r="H22" s="12" t="str">
        <f t="shared" si="0"/>
        <v/>
      </c>
      <c r="I22" s="13" t="str">
        <f t="shared" si="1"/>
        <v/>
      </c>
    </row>
    <row r="23" spans="2:9" x14ac:dyDescent="0.35">
      <c r="B23" s="62"/>
      <c r="C23" s="63"/>
      <c r="D23" s="63"/>
      <c r="E23" s="64"/>
      <c r="F23" s="10"/>
      <c r="G23" s="12"/>
      <c r="H23" s="12" t="str">
        <f t="shared" si="0"/>
        <v/>
      </c>
      <c r="I23" s="13" t="str">
        <f t="shared" si="1"/>
        <v/>
      </c>
    </row>
    <row r="24" spans="2:9" x14ac:dyDescent="0.35">
      <c r="B24" s="62"/>
      <c r="C24" s="63"/>
      <c r="D24" s="63"/>
      <c r="E24" s="64"/>
      <c r="F24" s="10"/>
      <c r="G24" s="12"/>
      <c r="H24" s="12" t="str">
        <f t="shared" si="0"/>
        <v/>
      </c>
      <c r="I24" s="13" t="str">
        <f t="shared" si="1"/>
        <v/>
      </c>
    </row>
    <row r="25" spans="2:9" x14ac:dyDescent="0.35">
      <c r="B25" s="62"/>
      <c r="C25" s="63"/>
      <c r="D25" s="63"/>
      <c r="E25" s="64"/>
      <c r="F25" s="10"/>
      <c r="G25" s="12"/>
      <c r="H25" s="12" t="str">
        <f t="shared" si="0"/>
        <v/>
      </c>
      <c r="I25" s="13" t="str">
        <f t="shared" si="1"/>
        <v/>
      </c>
    </row>
    <row r="26" spans="2:9" x14ac:dyDescent="0.35">
      <c r="B26" s="62"/>
      <c r="C26" s="63"/>
      <c r="D26" s="63"/>
      <c r="E26" s="64"/>
      <c r="F26" s="10"/>
      <c r="G26" s="12"/>
      <c r="H26" s="12" t="str">
        <f t="shared" si="0"/>
        <v/>
      </c>
      <c r="I26" s="13" t="str">
        <f>IF(F26&lt;&gt;"",F26*G26,"")</f>
        <v/>
      </c>
    </row>
    <row r="27" spans="2:9" x14ac:dyDescent="0.35">
      <c r="B27" s="62"/>
      <c r="C27" s="63"/>
      <c r="D27" s="63"/>
      <c r="E27" s="64"/>
      <c r="F27" s="10"/>
      <c r="G27" s="12"/>
      <c r="H27" s="12" t="str">
        <f t="shared" si="0"/>
        <v/>
      </c>
      <c r="I27" s="13" t="str">
        <f t="shared" si="1"/>
        <v/>
      </c>
    </row>
    <row r="28" spans="2:9" x14ac:dyDescent="0.35">
      <c r="B28" s="62"/>
      <c r="C28" s="63"/>
      <c r="D28" s="63"/>
      <c r="E28" s="64"/>
      <c r="F28" s="10"/>
      <c r="G28" s="12"/>
      <c r="H28" s="12" t="str">
        <f t="shared" si="0"/>
        <v/>
      </c>
      <c r="I28" s="13" t="str">
        <f t="shared" si="1"/>
        <v/>
      </c>
    </row>
    <row r="29" spans="2:9" x14ac:dyDescent="0.35">
      <c r="B29" s="62"/>
      <c r="C29" s="63"/>
      <c r="D29" s="63"/>
      <c r="E29" s="64"/>
      <c r="F29" s="10"/>
      <c r="G29" s="12"/>
      <c r="H29" s="12" t="str">
        <f t="shared" si="0"/>
        <v/>
      </c>
      <c r="I29" s="13" t="str">
        <f t="shared" si="1"/>
        <v/>
      </c>
    </row>
    <row r="30" spans="2:9" x14ac:dyDescent="0.35">
      <c r="B30" s="62"/>
      <c r="C30" s="63"/>
      <c r="D30" s="63"/>
      <c r="E30" s="64"/>
      <c r="F30" s="10"/>
      <c r="G30" s="12"/>
      <c r="H30" s="12" t="str">
        <f t="shared" si="0"/>
        <v/>
      </c>
      <c r="I30" s="13" t="str">
        <f t="shared" si="1"/>
        <v/>
      </c>
    </row>
    <row r="31" spans="2:9" x14ac:dyDescent="0.35">
      <c r="B31" s="62"/>
      <c r="C31" s="63"/>
      <c r="D31" s="63"/>
      <c r="E31" s="64"/>
      <c r="F31" s="10"/>
      <c r="G31" s="12"/>
      <c r="H31" s="12" t="str">
        <f t="shared" si="0"/>
        <v/>
      </c>
      <c r="I31" s="13" t="str">
        <f t="shared" si="1"/>
        <v/>
      </c>
    </row>
    <row r="32" spans="2:9" ht="15" thickBot="1" x14ac:dyDescent="0.4">
      <c r="B32" s="65"/>
      <c r="C32" s="66"/>
      <c r="D32" s="66"/>
      <c r="E32" s="67"/>
      <c r="F32" s="11"/>
      <c r="G32" s="14"/>
      <c r="H32" s="14" t="str">
        <f>IF(F32&lt;&gt;"",G32*20%,"")</f>
        <v/>
      </c>
      <c r="I32" s="15" t="str">
        <f t="shared" si="1"/>
        <v/>
      </c>
    </row>
    <row r="33" spans="2:9" ht="11.5" customHeight="1" thickBot="1" x14ac:dyDescent="0.4"/>
    <row r="34" spans="2:9" ht="15" thickBot="1" x14ac:dyDescent="0.4">
      <c r="B34" s="79" t="s">
        <v>11</v>
      </c>
      <c r="C34" s="79"/>
      <c r="G34" s="23"/>
      <c r="H34" s="24"/>
      <c r="I34" s="25"/>
    </row>
    <row r="35" spans="2:9" ht="15" thickTop="1" x14ac:dyDescent="0.35">
      <c r="B35" s="44"/>
      <c r="C35" s="45"/>
      <c r="D35" s="46"/>
      <c r="G35" s="42" t="s">
        <v>12</v>
      </c>
      <c r="H35" s="43"/>
      <c r="I35" s="32">
        <f>SUM(I17:I32)</f>
        <v>400</v>
      </c>
    </row>
    <row r="36" spans="2:9" ht="15" thickBot="1" x14ac:dyDescent="0.4">
      <c r="B36" s="47"/>
      <c r="C36" s="48"/>
      <c r="D36" s="49"/>
      <c r="G36" s="42" t="s">
        <v>9</v>
      </c>
      <c r="H36" s="43"/>
      <c r="I36" s="32">
        <f>SUM(H17:H32)</f>
        <v>50</v>
      </c>
    </row>
    <row r="37" spans="2:9" ht="15" thickBot="1" x14ac:dyDescent="0.4">
      <c r="B37" s="47"/>
      <c r="C37" s="48"/>
      <c r="D37" s="49"/>
      <c r="G37" s="34" t="s">
        <v>10</v>
      </c>
      <c r="H37" s="35"/>
      <c r="I37" s="33">
        <f>SUM(I35:I36)</f>
        <v>450</v>
      </c>
    </row>
    <row r="38" spans="2:9" x14ac:dyDescent="0.35">
      <c r="B38" s="50"/>
      <c r="C38" s="51"/>
      <c r="D38" s="52"/>
    </row>
    <row r="39" spans="2:9" ht="11" customHeight="1" x14ac:dyDescent="0.35"/>
    <row r="40" spans="2:9" ht="15" thickBot="1" x14ac:dyDescent="0.4">
      <c r="B40" s="80" t="s">
        <v>13</v>
      </c>
      <c r="C40" s="81"/>
      <c r="D40" s="26"/>
      <c r="E40" s="26"/>
      <c r="F40" s="26"/>
      <c r="G40" s="75" t="s">
        <v>14</v>
      </c>
      <c r="H40" s="76"/>
      <c r="I40" s="26"/>
    </row>
    <row r="41" spans="2:9" x14ac:dyDescent="0.35">
      <c r="B41" s="27" t="s">
        <v>46</v>
      </c>
      <c r="C41" s="7"/>
      <c r="D41" s="7"/>
      <c r="E41" s="7"/>
      <c r="F41" s="7"/>
      <c r="G41" s="7" t="s">
        <v>21</v>
      </c>
      <c r="H41" s="7"/>
      <c r="I41" s="28"/>
    </row>
    <row r="42" spans="2:9" x14ac:dyDescent="0.35">
      <c r="B42" s="27" t="s">
        <v>15</v>
      </c>
      <c r="C42" s="7"/>
      <c r="D42" s="7"/>
      <c r="E42" s="7"/>
      <c r="F42" s="7"/>
      <c r="G42" s="7" t="s">
        <v>20</v>
      </c>
      <c r="H42" s="7"/>
      <c r="I42" s="28"/>
    </row>
    <row r="43" spans="2:9" x14ac:dyDescent="0.35">
      <c r="B43" s="27" t="s">
        <v>16</v>
      </c>
      <c r="C43" s="7"/>
      <c r="D43" s="7"/>
      <c r="E43" s="7"/>
      <c r="F43" s="7"/>
      <c r="G43" s="7" t="s">
        <v>19</v>
      </c>
      <c r="H43" s="7"/>
      <c r="I43" s="28"/>
    </row>
    <row r="44" spans="2:9" x14ac:dyDescent="0.35">
      <c r="B44" s="29" t="s">
        <v>17</v>
      </c>
      <c r="C44" s="30"/>
      <c r="D44" s="30"/>
      <c r="E44" s="30"/>
      <c r="F44" s="30"/>
      <c r="G44" s="30" t="s">
        <v>18</v>
      </c>
      <c r="H44" s="30"/>
      <c r="I44" s="31"/>
    </row>
  </sheetData>
  <mergeCells count="38">
    <mergeCell ref="A1:F1"/>
    <mergeCell ref="H1:I1"/>
    <mergeCell ref="C3:D3"/>
    <mergeCell ref="G40:H40"/>
    <mergeCell ref="C5:D5"/>
    <mergeCell ref="B34:C34"/>
    <mergeCell ref="B40:C40"/>
    <mergeCell ref="B16:E16"/>
    <mergeCell ref="B17:E17"/>
    <mergeCell ref="B18:E18"/>
    <mergeCell ref="B19:E19"/>
    <mergeCell ref="B20:E20"/>
    <mergeCell ref="B21:E21"/>
    <mergeCell ref="B22:E22"/>
    <mergeCell ref="B23:E23"/>
    <mergeCell ref="B24:E24"/>
    <mergeCell ref="B38:D38"/>
    <mergeCell ref="F3:I7"/>
    <mergeCell ref="B30:E30"/>
    <mergeCell ref="B31:E31"/>
    <mergeCell ref="B32:E32"/>
    <mergeCell ref="B25:E25"/>
    <mergeCell ref="B26:E26"/>
    <mergeCell ref="B27:E27"/>
    <mergeCell ref="B28:E28"/>
    <mergeCell ref="B29:E29"/>
    <mergeCell ref="B9:D9"/>
    <mergeCell ref="B10:D10"/>
    <mergeCell ref="B11:D11"/>
    <mergeCell ref="G37:H37"/>
    <mergeCell ref="B12:D12"/>
    <mergeCell ref="B13:D13"/>
    <mergeCell ref="B14:D14"/>
    <mergeCell ref="G35:H35"/>
    <mergeCell ref="G36:H36"/>
    <mergeCell ref="B35:D35"/>
    <mergeCell ref="B36:D36"/>
    <mergeCell ref="B37:D37"/>
  </mergeCells>
  <dataValidations count="2">
    <dataValidation type="list" allowBlank="1" showInputMessage="1" showErrorMessage="1" sqref="B9">
      <formula1>Customer_Name</formula1>
    </dataValidation>
    <dataValidation type="list" allowBlank="1" showInputMessage="1" showErrorMessage="1" sqref="C6:D6">
      <formula1>"15,30,45,60"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"/>
  <sheetViews>
    <sheetView workbookViewId="0">
      <selection activeCell="F14" sqref="F14"/>
    </sheetView>
  </sheetViews>
  <sheetFormatPr defaultRowHeight="14.5" x14ac:dyDescent="0.35"/>
  <cols>
    <col min="1" max="1" width="16.36328125" customWidth="1"/>
    <col min="2" max="3" width="12.90625" customWidth="1"/>
    <col min="4" max="5" width="13.1796875" customWidth="1"/>
    <col min="6" max="6" width="11.81640625" customWidth="1"/>
    <col min="7" max="7" width="16.453125" bestFit="1" customWidth="1"/>
  </cols>
  <sheetData>
    <row r="1" spans="1:7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</row>
    <row r="2" spans="1:7" x14ac:dyDescent="0.35">
      <c r="A2" t="s">
        <v>29</v>
      </c>
      <c r="B2" t="s">
        <v>31</v>
      </c>
      <c r="C2" t="s">
        <v>31</v>
      </c>
      <c r="D2" t="s">
        <v>33</v>
      </c>
      <c r="E2" t="s">
        <v>34</v>
      </c>
      <c r="F2" t="s">
        <v>36</v>
      </c>
      <c r="G2" s="16" t="s">
        <v>38</v>
      </c>
    </row>
    <row r="3" spans="1:7" x14ac:dyDescent="0.35">
      <c r="A3" t="s">
        <v>45</v>
      </c>
      <c r="B3" t="s">
        <v>30</v>
      </c>
      <c r="C3" t="s">
        <v>30</v>
      </c>
      <c r="D3" t="s">
        <v>32</v>
      </c>
      <c r="E3" t="s">
        <v>35</v>
      </c>
      <c r="F3" t="s">
        <v>37</v>
      </c>
      <c r="G3" s="16" t="s">
        <v>39</v>
      </c>
    </row>
  </sheetData>
  <hyperlinks>
    <hyperlink ref="G2" r:id="rId1"/>
    <hyperlink ref="G3" r:id="rId2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F19" sqref="F19"/>
    </sheetView>
  </sheetViews>
  <sheetFormatPr defaultRowHeight="14.5" x14ac:dyDescent="0.35"/>
  <cols>
    <col min="1" max="6" width="14.453125" customWidth="1"/>
  </cols>
  <sheetData>
    <row r="1" spans="1:6" x14ac:dyDescent="0.35">
      <c r="A1" t="s">
        <v>40</v>
      </c>
      <c r="B1" t="s">
        <v>22</v>
      </c>
      <c r="C1" t="s">
        <v>41</v>
      </c>
      <c r="D1" t="s">
        <v>44</v>
      </c>
      <c r="E1" t="s">
        <v>42</v>
      </c>
      <c r="F1" t="s">
        <v>43</v>
      </c>
    </row>
    <row r="2" spans="1:6" x14ac:dyDescent="0.35">
      <c r="A2">
        <v>1001</v>
      </c>
      <c r="B2" t="s">
        <v>29</v>
      </c>
      <c r="C2" s="17">
        <v>0</v>
      </c>
      <c r="D2" s="18">
        <v>45303</v>
      </c>
      <c r="E2" s="18">
        <v>45333</v>
      </c>
      <c r="F2" t="s">
        <v>49</v>
      </c>
    </row>
    <row r="3" spans="1:6" x14ac:dyDescent="0.35">
      <c r="C3" s="17"/>
      <c r="D3" s="18"/>
      <c r="E3" s="18"/>
    </row>
    <row r="4" spans="1:6" x14ac:dyDescent="0.35">
      <c r="C4" s="17"/>
      <c r="D4" s="18"/>
      <c r="E4" s="18"/>
    </row>
  </sheetData>
  <dataValidations count="1">
    <dataValidation type="list" allowBlank="1" showInputMessage="1" showErrorMessage="1" sqref="F2:F27">
      <formula1>"YES, 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Invoice Template</vt:lpstr>
      <vt:lpstr>Customers</vt:lpstr>
      <vt:lpstr>Record of Invoices</vt:lpstr>
      <vt:lpstr>Customer_Name</vt:lpstr>
      <vt:lpstr>CustomerName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Nexgen</dc:creator>
  <cp:lastModifiedBy>Nexgen</cp:lastModifiedBy>
  <cp:lastPrinted>2024-01-12T12:42:28Z</cp:lastPrinted>
  <dcterms:created xsi:type="dcterms:W3CDTF">2024-01-11T15:09:06Z</dcterms:created>
  <dcterms:modified xsi:type="dcterms:W3CDTF">2024-01-12T16:41:32Z</dcterms:modified>
</cp:coreProperties>
</file>